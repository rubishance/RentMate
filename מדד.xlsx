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ראובן שאנס\Desktop\RentMate\"/>
    </mc:Choice>
  </mc:AlternateContent>
  <xr:revisionPtr revIDLastSave="0" documentId="13_ncr:1_{963AF8B9-798B-402C-B256-FB4D34F3A213}" xr6:coauthVersionLast="47" xr6:coauthVersionMax="47" xr10:uidLastSave="{00000000-0000-0000-0000-000000000000}"/>
  <bookViews>
    <workbookView xWindow="1905" yWindow="2130" windowWidth="21600" windowHeight="1129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14" i="1"/>
  <c r="G15" i="1"/>
  <c r="G16" i="1"/>
  <c r="G17" i="1"/>
  <c r="G18" i="1"/>
  <c r="G19" i="1"/>
  <c r="G8" i="1"/>
  <c r="F13" i="1"/>
  <c r="F14" i="1"/>
  <c r="F15" i="1"/>
  <c r="F17" i="1"/>
  <c r="F18" i="1"/>
  <c r="F12" i="1"/>
  <c r="F16" i="1"/>
  <c r="F19" i="1"/>
  <c r="F11" i="1"/>
  <c r="F8" i="1"/>
  <c r="F9" i="1"/>
  <c r="F10" i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9" i="1"/>
  <c r="C8" i="1"/>
  <c r="D8" i="1" s="1"/>
  <c r="E8" i="1" l="1"/>
  <c r="D9" i="1"/>
  <c r="E9" i="1" s="1"/>
  <c r="E19" i="1"/>
  <c r="E18" i="1"/>
  <c r="E17" i="1"/>
  <c r="E16" i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<sst xmlns="http://schemas.openxmlformats.org/spreadsheetml/2006/main" count="11" uniqueCount="11">
  <si>
    <t>תאריך מדד בסיס</t>
  </si>
  <si>
    <t>שכר דירה בסיסי בחוזה</t>
  </si>
  <si>
    <t>מעקב תשלומים</t>
  </si>
  <si>
    <t>תאריך</t>
  </si>
  <si>
    <t>סכום ששולם</t>
  </si>
  <si>
    <t>תאריך לחישוב מדד:</t>
  </si>
  <si>
    <t>מועד לחישוב מדד</t>
  </si>
  <si>
    <t>אחוז שינוי ממדד הבסיס</t>
  </si>
  <si>
    <t>הפרש בין תשלום בפועל לסכום לתשלום כולל מדד</t>
  </si>
  <si>
    <t>אחוז שינוי מדד ממועד התשלום לתאריך נבחר לחישוב</t>
  </si>
  <si>
    <t>סכום לתשלום צמוד מדד במועד התשלום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</si>
</sst>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43" fontId="0" fillId="0" borderId="0" xfId="1" applyFont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1512;&#1488;&#1493;&#1489;&#1503;%20&#1513;&#1488;&#1504;&#1505;\AppData\Roaming\Microsoft\AddIns\&#1502;&#1491;&#1491;&#1497;&#1501;%20&#1489;&#1488;&#1511;&#1505;&#1500;.xlam" TargetMode="External"/><Relationship Id="rId1" Type="http://schemas.openxmlformats.org/officeDocument/2006/relationships/externalLinkPath" Target="/Users/&#1512;&#1488;&#1493;&#1489;&#1503;%20&#1513;&#1488;&#1504;&#1505;/AppData/Roaming/Microsoft/AddIns/&#1502;&#1491;&#1491;&#1497;&#1501;%20&#1489;&#1488;&#1511;&#1505;&#1500;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בית"/>
    </sheetNames>
    <definedNames>
      <definedName name="MADAD_AHUZ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rightToLeft="1" tabSelected="1" workbookViewId="0">
      <selection activeCell="C11" sqref="C11:C12"/>
    </sheetView>
  </sheetViews>
  <sheetFormatPr defaultRowHeight="14.25" x14ac:dyDescent="0.2"/>
  <cols>
    <col min="1" max="1" width="17.625" bestFit="1" customWidth="1"/>
    <col min="2" max="2" width="9.875" bestFit="1" customWidth="1"/>
    <col min="3" max="3" width="17.875" bestFit="1" customWidth="1"/>
    <col min="4" max="4" width="30.625" bestFit="1" customWidth="1"/>
    <col min="5" max="5" width="36.625" bestFit="1" customWidth="1"/>
    <col min="6" max="6" width="40.5" bestFit="1" customWidth="1"/>
  </cols>
  <sheetData>
    <row r="1" spans="1:7" x14ac:dyDescent="0.2">
      <c r="A1" t="s">
        <v>1</v>
      </c>
      <c r="B1">
        <v>5000</v>
      </c>
    </row>
    <row r="2" spans="1:7" x14ac:dyDescent="0.2">
      <c r="A2" t="s">
        <v>0</v>
      </c>
      <c r="B2" s="1">
        <v>45658</v>
      </c>
    </row>
    <row r="3" spans="1:7" x14ac:dyDescent="0.2">
      <c r="A3" t="s">
        <v>6</v>
      </c>
      <c r="B3" s="1">
        <v>46023</v>
      </c>
    </row>
    <row r="4" spans="1:7" x14ac:dyDescent="0.2">
      <c r="A4" t="s">
        <v>5</v>
      </c>
      <c r="B4" s="1">
        <v>46022</v>
      </c>
    </row>
    <row r="5" spans="1:7" x14ac:dyDescent="0.2">
      <c r="B5" s="1"/>
    </row>
    <row r="6" spans="1:7" x14ac:dyDescent="0.2">
      <c r="A6" t="s">
        <v>2</v>
      </c>
    </row>
    <row r="7" spans="1:7" x14ac:dyDescent="0.2">
      <c r="A7" t="s">
        <v>3</v>
      </c>
      <c r="B7" t="s">
        <v>4</v>
      </c>
      <c r="C7" t="s">
        <v>7</v>
      </c>
      <c r="D7" t="s">
        <v>10</v>
      </c>
      <c r="E7" t="s">
        <v>8</v>
      </c>
      <c r="F7" s="4" t="s">
        <v>9</v>
      </c>
    </row>
    <row r="8" spans="1:7" x14ac:dyDescent="0.2">
      <c r="A8" s="1">
        <v>45658</v>
      </c>
      <c r="B8">
        <v>5000</v>
      </c>
      <c r="C8" s="2">
        <f>[1]!MADAD_AHUZ($B$2,A8,"ידוע","מדד מחירים לצרכן")</f>
        <v>0</v>
      </c>
      <c r="D8" s="3">
        <f>IF(C8&gt;=0,[1]!MADAD_AHUZ($B$2,A8,"ידוע","מדד מחירים לצרכן")*$B$1+$B$1,$B$1)</f>
        <v>5000</v>
      </c>
      <c r="E8" s="4">
        <f>$B$1-D8</f>
        <v>0</v>
      </c>
      <c r="F8" s="2">
        <f>([1]!MADAD_AHUZ(A8,$B$3,"ידוע","מדד מחירים לצרכן"))</f>
        <v>2.3609935602575911E-2</v>
      </c>
      <c r="G8" s="4">
        <f>E8*(1+F8)</f>
        <v>0</v>
      </c>
    </row>
    <row r="9" spans="1:7" x14ac:dyDescent="0.2">
      <c r="A9" s="1">
        <v>45689</v>
      </c>
      <c r="B9">
        <v>5000</v>
      </c>
      <c r="C9" s="2">
        <f>[1]!MADAD_AHUZ($B$2,A9,"ידוע","מדד מחירים לצרכן")</f>
        <v>-2.7598896044157971E-3</v>
      </c>
      <c r="D9" s="3">
        <f>IF(C9&gt;=0,[1]!MADAD_AHUZ($B$2,A9,"ידוע","מדד מחירים לצרכן")*$B$1+$B$1,$B$1)</f>
        <v>5000</v>
      </c>
      <c r="E9" s="4">
        <f t="shared" ref="E9:E19" si="0">$B$1-D9</f>
        <v>0</v>
      </c>
      <c r="F9" s="2">
        <f>([1]!MADAD_AHUZ(A9,$B$3,"ידוע","מדד מחירים לצרכן"))</f>
        <v>2.6442804428044267E-2</v>
      </c>
      <c r="G9" s="4">
        <f t="shared" ref="G9:G19" si="1">E9*(1+F9)</f>
        <v>0</v>
      </c>
    </row>
    <row r="10" spans="1:7" x14ac:dyDescent="0.2">
      <c r="A10" s="1">
        <v>45717</v>
      </c>
      <c r="B10">
        <v>5000</v>
      </c>
      <c r="C10" s="2">
        <f>[1]!MADAD_AHUZ($B$2,A10,"ידוע","מדד מחירים לצרכן")</f>
        <v>2.8610855565776709E-3</v>
      </c>
      <c r="D10" s="3">
        <f>IF(C10&gt;=0,[1]!MADAD_AHUZ($B$2,A10,"ידוע","מדד מחירים לצרכן")*$B$1+$B$1,$B$1)</f>
        <v>5014.3054277828887</v>
      </c>
      <c r="E10" s="4">
        <f t="shared" si="0"/>
        <v>-14.305427782888728</v>
      </c>
      <c r="F10" s="2">
        <f>([1]!MADAD_AHUZ(A10,$B$3,"ידוע","מדד מחירים לצרכן"))</f>
        <v>2.0689655172413737E-2</v>
      </c>
      <c r="G10" s="4">
        <f t="shared" si="1"/>
        <v>-14.601402150810564</v>
      </c>
    </row>
    <row r="11" spans="1:7" x14ac:dyDescent="0.2">
      <c r="A11" s="1">
        <v>45748</v>
      </c>
      <c r="B11">
        <v>5000</v>
      </c>
      <c r="C11" s="2">
        <f>[1]!MADAD_AHUZ($B$2,A11,"ידוע","מדד מחירים לצרכן")</f>
        <v>2.8610855565776709E-3</v>
      </c>
      <c r="D11" s="3">
        <f>IF(C11&gt;=0,[1]!MADAD_AHUZ($B$2,A11,"ידוע","מדד מחירים לצרכן")*$B$1+$B$1,$B$1)</f>
        <v>5014.3054277828887</v>
      </c>
      <c r="E11" s="4">
        <f t="shared" si="0"/>
        <v>-14.305427782888728</v>
      </c>
      <c r="F11" s="2">
        <f>([1]!MADAD_AHUZ(A11,$B$3,"ידוע","מדד מחירים לצרכן"))</f>
        <v>2.0689655172413737E-2</v>
      </c>
      <c r="G11" s="4">
        <f t="shared" si="1"/>
        <v>-14.601402150810564</v>
      </c>
    </row>
    <row r="12" spans="1:7" x14ac:dyDescent="0.2">
      <c r="A12" s="1">
        <v>45778</v>
      </c>
      <c r="B12">
        <v>5000</v>
      </c>
      <c r="C12" s="2">
        <f>[1]!MADAD_AHUZ($B$2,A12,"ידוע","מדד מחירים לצרכן")</f>
        <v>7.8012879484820512E-3</v>
      </c>
      <c r="D12" s="3">
        <f>IF(C12&gt;=0,[1]!MADAD_AHUZ($B$2,A12,"ידוע","מדד מחירים לצרכן")*$B$1+$B$1,$B$1)</f>
        <v>5039.0064397424103</v>
      </c>
      <c r="E12" s="4">
        <f t="shared" si="0"/>
        <v>-39.006439742410294</v>
      </c>
      <c r="F12" s="2">
        <f>([1]!MADAD_AHUZ(A12,$B$3,"ידוע","מדד מחירים לצרכן"))</f>
        <v>1.5686274509803866E-2</v>
      </c>
      <c r="G12" s="4">
        <f t="shared" si="1"/>
        <v>-39.618305463859862</v>
      </c>
    </row>
    <row r="13" spans="1:7" x14ac:dyDescent="0.2">
      <c r="A13" s="1">
        <v>45809</v>
      </c>
      <c r="B13">
        <v>5000</v>
      </c>
      <c r="C13" s="2">
        <f>[1]!MADAD_AHUZ($B$2,A13,"ידוע","מדד מחירים לצרכן")</f>
        <v>1.866973321067153E-2</v>
      </c>
      <c r="D13" s="3">
        <f>IF(C13&gt;=0,[1]!MADAD_AHUZ($B$2,A13,"ידוע","מדד מחירים לצרכן")*$B$1+$B$1,$B$1)</f>
        <v>5093.3486660533581</v>
      </c>
      <c r="E13" s="4">
        <f t="shared" si="0"/>
        <v>-93.348666053358102</v>
      </c>
      <c r="F13" s="2">
        <f>([1]!MADAD_AHUZ(A13,$B$3,"ידוע","מדד מחירים לצרכן"))</f>
        <v>4.849660523763337E-3</v>
      </c>
      <c r="G13" s="4">
        <f t="shared" si="1"/>
        <v>-93.801375394063044</v>
      </c>
    </row>
    <row r="14" spans="1:7" x14ac:dyDescent="0.2">
      <c r="A14" s="1">
        <v>45839</v>
      </c>
      <c r="B14">
        <v>5000</v>
      </c>
      <c r="C14" s="2">
        <f>[1]!MADAD_AHUZ($B$2,A14,"ידוע","מדד מחירים לצרכן")</f>
        <v>1.5705611775528983E-2</v>
      </c>
      <c r="D14" s="3">
        <f>IF(C14&gt;=0,[1]!MADAD_AHUZ($B$2,A14,"ידוע","מדד מחירים לצרכן")*$B$1+$B$1,$B$1)</f>
        <v>5078.528058877645</v>
      </c>
      <c r="E14" s="4">
        <f t="shared" si="0"/>
        <v>-78.52805887764498</v>
      </c>
      <c r="F14" s="2">
        <f>([1]!MADAD_AHUZ(A14,$B$3,"ידוע","מדד מחירים לצרכן"))</f>
        <v>7.7821011673151474E-3</v>
      </c>
      <c r="G14" s="4">
        <f t="shared" si="1"/>
        <v>-79.139172176303688</v>
      </c>
    </row>
    <row r="15" spans="1:7" x14ac:dyDescent="0.2">
      <c r="A15" s="1">
        <v>45870</v>
      </c>
      <c r="B15">
        <v>5000</v>
      </c>
      <c r="C15" s="2">
        <f>[1]!MADAD_AHUZ($B$2,A15,"ידוע","מדד מחירים לצרכן")</f>
        <v>1.866973321067153E-2</v>
      </c>
      <c r="D15" s="3">
        <f>IF(C15&gt;=0,[1]!MADAD_AHUZ($B$2,A15,"ידוע","מדד מחירים לצרכן")*$B$1+$B$1,$B$1)</f>
        <v>5093.3486660533581</v>
      </c>
      <c r="E15" s="4">
        <f t="shared" si="0"/>
        <v>-93.348666053358102</v>
      </c>
      <c r="F15" s="2">
        <f>([1]!MADAD_AHUZ(A15,$B$3,"ידוע","מדד מחירים לצרכן"))</f>
        <v>4.849660523763337E-3</v>
      </c>
      <c r="G15" s="4">
        <f t="shared" si="1"/>
        <v>-93.801375394063044</v>
      </c>
    </row>
    <row r="16" spans="1:7" x14ac:dyDescent="0.2">
      <c r="A16" s="1">
        <v>45901</v>
      </c>
      <c r="B16">
        <v>5000</v>
      </c>
      <c r="C16" s="2">
        <f>[1]!MADAD_AHUZ($B$2,A16,"ידוע","מדד מחירים לצרכן")</f>
        <v>2.262189512419506E-2</v>
      </c>
      <c r="D16" s="3">
        <f>IF(C16&gt;=0,[1]!MADAD_AHUZ($B$2,A16,"ידוע","מדד מחירים לצרכן")*$B$1+$B$1,$B$1)</f>
        <v>5113.109475620975</v>
      </c>
      <c r="E16" s="4">
        <f t="shared" si="0"/>
        <v>-113.10947562097499</v>
      </c>
      <c r="F16" s="2">
        <f>([1]!MADAD_AHUZ(A16,$B$3,"ידוע","מדד מחירים לצרכן"))</f>
        <v>9.6618357487917217E-4</v>
      </c>
      <c r="G16" s="4">
        <f t="shared" si="1"/>
        <v>-113.21876013848316</v>
      </c>
    </row>
    <row r="17" spans="1:7" x14ac:dyDescent="0.2">
      <c r="A17" s="1">
        <v>45931</v>
      </c>
      <c r="B17">
        <v>5000</v>
      </c>
      <c r="C17" s="2">
        <f>[1]!MADAD_AHUZ($B$2,A17,"ידוע","מדד מחירים לצרכן")</f>
        <v>2.9538178472861009E-2</v>
      </c>
      <c r="D17" s="3">
        <f>IF(C17&gt;=0,[1]!MADAD_AHUZ($B$2,A17,"ידוע","מדד מחירים לצרכן")*$B$1+$B$1,$B$1)</f>
        <v>5147.690892364305</v>
      </c>
      <c r="E17" s="4">
        <f t="shared" si="0"/>
        <v>-147.690892364305</v>
      </c>
      <c r="F17" s="2">
        <f>([1]!MADAD_AHUZ(A17,$B$3,"ידוע","מדד מחירים לצרכן"))</f>
        <v>-5.7581573896353985E-3</v>
      </c>
      <c r="G17" s="4">
        <f t="shared" si="1"/>
        <v>-146.84046496105563</v>
      </c>
    </row>
    <row r="18" spans="1:7" x14ac:dyDescent="0.2">
      <c r="A18" s="1">
        <v>45962</v>
      </c>
      <c r="B18">
        <v>5000</v>
      </c>
      <c r="C18" s="2">
        <f>[1]!MADAD_AHUZ($B$2,A18,"ידוע","מדד מחירים לצרכן")</f>
        <v>2.3609935602575911E-2</v>
      </c>
      <c r="D18" s="3">
        <f>IF(C18&gt;=0,[1]!MADAD_AHUZ($B$2,A18,"ידוע","מדד מחירים לצרכן")*$B$1+$B$1,$B$1)</f>
        <v>5118.0496780128797</v>
      </c>
      <c r="E18" s="4">
        <f t="shared" si="0"/>
        <v>-118.04967801287967</v>
      </c>
      <c r="F18" s="2">
        <f>([1]!MADAD_AHUZ(A18,$B$3,"ידוע","מדד מחירים לצרכן"))</f>
        <v>0</v>
      </c>
      <c r="G18" s="4">
        <f t="shared" si="1"/>
        <v>-118.04967801287967</v>
      </c>
    </row>
    <row r="19" spans="1:7" x14ac:dyDescent="0.2">
      <c r="A19" s="1">
        <v>45992</v>
      </c>
      <c r="B19">
        <v>5000</v>
      </c>
      <c r="C19" s="2">
        <f>[1]!MADAD_AHUZ($B$2,A19,"ידוע","מדד מחירים לצרכן")</f>
        <v>2.8550137994480161E-2</v>
      </c>
      <c r="D19" s="3">
        <f>IF(C19&gt;=0,[1]!MADAD_AHUZ($B$2,A19,"ידוע","מדד מחירים לצרכן")*$B$1+$B$1,$B$1)</f>
        <v>5142.7506899724012</v>
      </c>
      <c r="E19" s="4">
        <f t="shared" si="0"/>
        <v>-142.75068997240123</v>
      </c>
      <c r="F19" s="2">
        <f>([1]!MADAD_AHUZ(A19,$B$3,"ידוע","מדד מחירים לצרכן"))</f>
        <v>-4.8030739673390974E-3</v>
      </c>
      <c r="G19" s="4">
        <f t="shared" si="1"/>
        <v>-142.06504784957508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ראובן שאנס</dc:creator>
  <cp:lastModifiedBy>Rubi Shance</cp:lastModifiedBy>
  <dcterms:created xsi:type="dcterms:W3CDTF">2015-06-05T18:17:20Z</dcterms:created>
  <dcterms:modified xsi:type="dcterms:W3CDTF">2026-01-01T12:06:41Z</dcterms:modified>
</cp:coreProperties>
</file>